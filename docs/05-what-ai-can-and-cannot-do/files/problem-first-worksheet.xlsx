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Effort inventory" sheetId="2" state="visible" r:id="rId2"/>
    <sheet xmlns:r="http://schemas.openxmlformats.org/officeDocument/2006/relationships" name="2. Synthesis bottlenecks" sheetId="3" state="visible" r:id="rId3"/>
    <sheet xmlns:r="http://schemas.openxmlformats.org/officeDocument/2006/relationships" name="3. Underused data" sheetId="4" state="visible" r:id="rId4"/>
    <sheet xmlns:r="http://schemas.openxmlformats.org/officeDocument/2006/relationships" name="4. Adjacent scan" sheetId="5" state="visible" r:id="rId5"/>
    <sheet xmlns:r="http://schemas.openxmlformats.org/officeDocument/2006/relationships" name="5. Roadmap ran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8B8B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008B8B"/>
      </patternFill>
    </fill>
    <fill>
      <patternFill patternType="solid">
        <fgColor rgb="00FFFFFF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FFC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20" customWidth="1" min="3" max="3"/>
  </cols>
  <sheetData>
    <row r="1" ht="28" customHeight="1">
      <c r="A1" s="1" t="inlineStr">
        <is>
          <t>Problem-First Diagnostic Worksheet</t>
        </is>
      </c>
    </row>
    <row r="3" ht="22" customHeight="1">
      <c r="A3" s="2" t="inlineStr">
        <is>
          <t>How to use this worksheet</t>
        </is>
      </c>
    </row>
    <row r="4" ht="30" customHeight="1">
      <c r="A4" s="3" t="inlineStr">
        <is>
          <t>• Run as a 90-minute session with operational leaders. No technology vendors in the room.</t>
        </is>
      </c>
    </row>
    <row r="5" ht="30" customHeight="1">
      <c r="A5" s="3" t="inlineStr">
        <is>
          <t>• Complete steps in order. Steps 1–3 surface candidate problems; Step 4 prevents fragmenting   the portfolio into point solutions; Step 5 sequences the work.</t>
        </is>
      </c>
    </row>
    <row r="6" ht="30" customHeight="1">
      <c r="A6" s="3" t="inlineStr">
        <is>
          <t>• Re-run annually, or whenever a new foundation-model capability tier becomes available.</t>
        </is>
      </c>
    </row>
    <row r="7" ht="30" customHeight="1">
      <c r="A7" s="3" t="inlineStr">
        <is>
          <t>• If a vendor demo preceded this session, answers will reverse-engineer a problem to fit the demo.   Stop and restart from Step 1 without vendor contact.</t>
        </is>
      </c>
    </row>
  </sheetData>
  <mergeCells count="6">
    <mergeCell ref="A1:C1"/>
    <mergeCell ref="A5:C5"/>
    <mergeCell ref="A6:C6"/>
    <mergeCell ref="A3:C3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22" customWidth="1" min="4" max="4"/>
    <col width="30" customWidth="1" min="5" max="5"/>
  </cols>
  <sheetData>
    <row r="1" ht="42" customHeight="1">
      <c r="A1" s="4" t="inlineStr">
        <is>
          <t>Workflow</t>
        </is>
      </c>
      <c r="B1" s="4" t="inlineStr">
        <is>
          <t>Nature of effort (judgment / synthesis / generation / physical / relationship)</t>
        </is>
      </c>
      <c r="C1" s="4" t="inlineStr">
        <is>
          <t>Volume (decisions / day)</t>
        </is>
      </c>
      <c r="D1" s="4" t="inlineStr">
        <is>
          <t>Cost frame (FTE, hours, dollars)</t>
        </is>
      </c>
      <c r="E1" s="4" t="inlineStr">
        <is>
          <t>Notes</t>
        </is>
      </c>
    </row>
    <row r="2" ht="28" customHeight="1">
      <c r="A2" s="5" t="n"/>
      <c r="B2" s="5" t="n"/>
      <c r="C2" s="5" t="n"/>
      <c r="D2" s="5" t="n"/>
      <c r="E2" s="5" t="n"/>
    </row>
    <row r="3" ht="28" customHeight="1">
      <c r="A3" s="6" t="n"/>
      <c r="B3" s="6" t="n"/>
      <c r="C3" s="6" t="n"/>
      <c r="D3" s="6" t="n"/>
      <c r="E3" s="6" t="n"/>
    </row>
    <row r="4" ht="28" customHeight="1">
      <c r="A4" s="5" t="n"/>
      <c r="B4" s="5" t="n"/>
      <c r="C4" s="5" t="n"/>
      <c r="D4" s="5" t="n"/>
      <c r="E4" s="5" t="n"/>
    </row>
    <row r="5" ht="28" customHeight="1">
      <c r="A5" s="6" t="n"/>
      <c r="B5" s="6" t="n"/>
      <c r="C5" s="6" t="n"/>
      <c r="D5" s="6" t="n"/>
      <c r="E5" s="6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6" t="n"/>
      <c r="B7" s="6" t="n"/>
      <c r="C7" s="6" t="n"/>
      <c r="D7" s="6" t="n"/>
      <c r="E7" s="6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6" t="n"/>
      <c r="B9" s="6" t="n"/>
      <c r="C9" s="6" t="n"/>
      <c r="D9" s="6" t="n"/>
      <c r="E9" s="6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6" t="n"/>
      <c r="B11" s="6" t="n"/>
      <c r="C11" s="6" t="n"/>
      <c r="D11" s="6" t="n"/>
      <c r="E11" s="6" t="n"/>
    </row>
  </sheetData>
  <dataValidations count="1">
    <dataValidation sqref="B2:B11" showDropDown="0" showInputMessage="0" showErrorMessage="0" allowBlank="1" type="list">
      <formula1>"judgment,synthesis,generation,physical action,relationship"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36" customWidth="1" min="4" max="4"/>
  </cols>
  <sheetData>
    <row r="1" ht="50" customHeight="1">
      <c r="A1" s="4" t="inlineStr">
        <is>
          <t>Workflow (from Step 1)</t>
        </is>
      </c>
      <c r="B1" s="4" t="inlineStr">
        <is>
          <t>Information sources humans currently consult</t>
        </is>
      </c>
      <c r="C1" s="4" t="inlineStr">
        <is>
          <t>Sources structured? (Yes / Partial / No)</t>
        </is>
      </c>
      <c r="D1" s="4" t="inlineStr">
        <is>
          <t>Would simultaneous synthesis beat human under time pressure?</t>
        </is>
      </c>
    </row>
    <row r="2" ht="28" customHeight="1">
      <c r="A2" s="5" t="n"/>
      <c r="B2" s="5" t="n"/>
      <c r="C2" s="5" t="n"/>
      <c r="D2" s="5" t="n"/>
    </row>
    <row r="3" ht="28" customHeight="1">
      <c r="A3" s="6" t="n"/>
      <c r="B3" s="6" t="n"/>
      <c r="C3" s="6" t="n"/>
      <c r="D3" s="6" t="n"/>
    </row>
    <row r="4" ht="28" customHeight="1">
      <c r="A4" s="5" t="n"/>
      <c r="B4" s="5" t="n"/>
      <c r="C4" s="5" t="n"/>
      <c r="D4" s="5" t="n"/>
    </row>
    <row r="5" ht="28" customHeight="1">
      <c r="A5" s="6" t="n"/>
      <c r="B5" s="6" t="n"/>
      <c r="C5" s="6" t="n"/>
      <c r="D5" s="6" t="n"/>
    </row>
    <row r="6" ht="28" customHeight="1">
      <c r="A6" s="5" t="n"/>
      <c r="B6" s="5" t="n"/>
      <c r="C6" s="5" t="n"/>
      <c r="D6" s="5" t="n"/>
    </row>
    <row r="7" ht="28" customHeight="1">
      <c r="A7" s="6" t="n"/>
      <c r="B7" s="6" t="n"/>
      <c r="C7" s="6" t="n"/>
      <c r="D7" s="6" t="n"/>
    </row>
    <row r="8" ht="28" customHeight="1">
      <c r="A8" s="5" t="n"/>
      <c r="B8" s="5" t="n"/>
      <c r="C8" s="5" t="n"/>
      <c r="D8" s="5" t="n"/>
    </row>
    <row r="9" ht="28" customHeight="1">
      <c r="A9" s="6" t="n"/>
      <c r="B9" s="6" t="n"/>
      <c r="C9" s="6" t="n"/>
      <c r="D9" s="6" t="n"/>
    </row>
    <row r="10" ht="28" customHeight="1">
      <c r="A10" s="5" t="n"/>
      <c r="B10" s="5" t="n"/>
      <c r="C10" s="5" t="n"/>
      <c r="D10" s="5" t="n"/>
    </row>
    <row r="11" ht="28" customHeight="1">
      <c r="A11" s="6" t="n"/>
      <c r="B11" s="6" t="n"/>
      <c r="C11" s="6" t="n"/>
      <c r="D11" s="6" t="n"/>
    </row>
  </sheetData>
  <dataValidations count="2">
    <dataValidation sqref="C2:C11" showDropDown="0" showInputMessage="0" showErrorMessage="0" allowBlank="1" type="list">
      <formula1>"Yes,Partial,No"</formula1>
    </dataValidation>
    <dataValidation sqref="D2:D11" showDropDown="0" showInputMessage="0" showErrorMessage="0" allowBlank="1" type="list">
      <formula1>"Yes,No,Unsure"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24" customWidth="1" min="4" max="4"/>
  </cols>
  <sheetData>
    <row r="1" ht="44" customHeight="1">
      <c r="A1" s="4" t="inlineStr">
        <is>
          <t>Data asset</t>
        </is>
      </c>
      <c r="B1" s="4" t="inlineStr">
        <is>
          <t>Operational decisions it should inform</t>
        </is>
      </c>
      <c r="C1" s="4" t="inlineStr">
        <is>
          <t>Gap driver (bandwidth / access / genuine uncertainty)</t>
        </is>
      </c>
      <c r="D1" s="4" t="inlineStr">
        <is>
          <t>Estimated decisions affected per month</t>
        </is>
      </c>
    </row>
    <row r="2" ht="30" customHeight="1">
      <c r="A2" s="5" t="n"/>
      <c r="B2" s="5" t="n"/>
      <c r="C2" s="5" t="n"/>
      <c r="D2" s="5" t="n"/>
    </row>
    <row r="3" ht="30" customHeight="1">
      <c r="A3" s="6" t="n"/>
      <c r="B3" s="6" t="n"/>
      <c r="C3" s="6" t="n"/>
      <c r="D3" s="6" t="n"/>
    </row>
    <row r="4" ht="30" customHeight="1">
      <c r="A4" s="5" t="n"/>
      <c r="B4" s="5" t="n"/>
      <c r="C4" s="5" t="n"/>
      <c r="D4" s="5" t="n"/>
    </row>
    <row r="5" ht="30" customHeight="1">
      <c r="A5" s="6" t="n"/>
      <c r="B5" s="6" t="n"/>
      <c r="C5" s="6" t="n"/>
      <c r="D5" s="6" t="n"/>
    </row>
    <row r="6" ht="30" customHeight="1">
      <c r="A6" s="5" t="n"/>
      <c r="B6" s="5" t="n"/>
      <c r="C6" s="5" t="n"/>
      <c r="D6" s="5" t="n"/>
    </row>
    <row r="7" ht="30" customHeight="1">
      <c r="A7" s="6" t="n"/>
      <c r="B7" s="6" t="n"/>
      <c r="C7" s="6" t="n"/>
      <c r="D7" s="6" t="n"/>
    </row>
  </sheetData>
  <dataValidations count="1">
    <dataValidation sqref="C2:C7" showDropDown="0" showInputMessage="0" showErrorMessage="0" allowBlank="1" type="list">
      <formula1>"bandwidth,access,genuine uncertainty"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6" customWidth="1" min="3" max="3"/>
    <col width="18" customWidth="1" min="4" max="4"/>
    <col width="22" customWidth="1" min="5" max="5"/>
    <col width="20" customWidth="1" min="6" max="6"/>
  </cols>
  <sheetData>
    <row r="1" ht="48" customHeight="1">
      <c r="A1" s="4" t="inlineStr">
        <is>
          <t>Current AI investment</t>
        </is>
      </c>
      <c r="B1" s="4" t="inlineStr">
        <is>
          <t>Original problem solved</t>
        </is>
      </c>
      <c r="C1" s="4" t="inlineStr">
        <is>
          <t>Adjacent problems same platform could address</t>
        </is>
      </c>
      <c r="D1" s="4" t="inlineStr">
        <is>
          <t>Point-solution cost (USD)</t>
        </is>
      </c>
      <c r="E1" s="4" t="inlineStr">
        <is>
          <t>Platform marginal cost (USD)</t>
        </is>
      </c>
      <c r="F1" s="4" t="inlineStr">
        <is>
          <t>Cost ratio (point ÷ platform)</t>
        </is>
      </c>
    </row>
    <row r="2" ht="30" customHeight="1">
      <c r="A2" s="5" t="n"/>
      <c r="B2" s="5" t="n"/>
      <c r="C2" s="5" t="n"/>
      <c r="D2" s="5" t="n"/>
      <c r="E2" s="5" t="n"/>
      <c r="F2" s="5">
        <f>IFERROR(D2/E2,"")</f>
        <v/>
      </c>
    </row>
    <row r="3" ht="30" customHeight="1">
      <c r="A3" s="6" t="n"/>
      <c r="B3" s="6" t="n"/>
      <c r="C3" s="6" t="n"/>
      <c r="D3" s="6" t="n"/>
      <c r="E3" s="6" t="n"/>
      <c r="F3" s="6">
        <f>IFERROR(D3/E3,"")</f>
        <v/>
      </c>
    </row>
    <row r="4" ht="30" customHeight="1">
      <c r="A4" s="5" t="n"/>
      <c r="B4" s="5" t="n"/>
      <c r="C4" s="5" t="n"/>
      <c r="D4" s="5" t="n"/>
      <c r="E4" s="5" t="n"/>
      <c r="F4" s="5">
        <f>IFERROR(D4/E4,"")</f>
        <v/>
      </c>
    </row>
    <row r="5" ht="30" customHeight="1">
      <c r="A5" s="6" t="n"/>
      <c r="B5" s="6" t="n"/>
      <c r="C5" s="6" t="n"/>
      <c r="D5" s="6" t="n"/>
      <c r="E5" s="6" t="n"/>
      <c r="F5" s="6">
        <f>IFERROR(D5/E5,"")</f>
        <v/>
      </c>
    </row>
    <row r="6" ht="30" customHeight="1">
      <c r="A6" s="5" t="n"/>
      <c r="B6" s="5" t="n"/>
      <c r="C6" s="5" t="n"/>
      <c r="D6" s="5" t="n"/>
      <c r="E6" s="5" t="n"/>
      <c r="F6" s="5">
        <f>IFERROR(D6/E6,"")</f>
        <v/>
      </c>
    </row>
    <row r="7" ht="30" customHeight="1">
      <c r="A7" s="6" t="n"/>
      <c r="B7" s="6" t="n"/>
      <c r="C7" s="6" t="n"/>
      <c r="D7" s="6" t="n"/>
      <c r="E7" s="6" t="n"/>
      <c r="F7" s="6">
        <f>IFERROR(D7/E7,"")</f>
        <v/>
      </c>
    </row>
    <row r="8" ht="30" customHeight="1">
      <c r="A8" s="5" t="n"/>
      <c r="B8" s="5" t="n"/>
      <c r="C8" s="5" t="n"/>
      <c r="D8" s="5" t="n"/>
      <c r="E8" s="5" t="n"/>
      <c r="F8" s="5">
        <f>IFERROR(D8/E8,"")</f>
        <v/>
      </c>
    </row>
    <row r="9" ht="30" customHeight="1">
      <c r="A9" s="6" t="n"/>
      <c r="B9" s="6" t="n"/>
      <c r="C9" s="6" t="n"/>
      <c r="D9" s="6" t="n"/>
      <c r="E9" s="6" t="n"/>
      <c r="F9" s="6">
        <f>IFERROR(D9/E9,"")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18" customWidth="1" min="5" max="5"/>
    <col width="16" customWidth="1" min="6" max="6"/>
  </cols>
  <sheetData>
    <row r="1" ht="38" customHeight="1">
      <c r="A1" s="4" t="inlineStr">
        <is>
          <t>Opportunity</t>
        </is>
      </c>
      <c r="B1" s="4" t="inlineStr">
        <is>
          <t>Clinical impact (1–5)</t>
        </is>
      </c>
      <c r="C1" s="4" t="inlineStr">
        <is>
          <t>Financial impact (1–5)</t>
        </is>
      </c>
      <c r="D1" s="4" t="inlineStr">
        <is>
          <t>Feasibility (1–5)</t>
        </is>
      </c>
      <c r="E1" s="4" t="inlineStr">
        <is>
          <t>Score (C × F × X)</t>
        </is>
      </c>
      <c r="F1" s="4" t="inlineStr">
        <is>
          <t>Sequenced rank</t>
        </is>
      </c>
    </row>
    <row r="2" ht="28" customHeight="1">
      <c r="A2" s="5" t="n"/>
      <c r="B2" s="5" t="n"/>
      <c r="C2" s="5" t="n"/>
      <c r="D2" s="5" t="n"/>
      <c r="E2" s="5">
        <f>IFERROR(B2*C2*D2,"")</f>
        <v/>
      </c>
      <c r="F2" s="5">
        <f>IF(E2="","",RANK(E2,$E$2:$E$11,0))</f>
        <v/>
      </c>
    </row>
    <row r="3" ht="28" customHeight="1">
      <c r="A3" s="6" t="n"/>
      <c r="B3" s="6" t="n"/>
      <c r="C3" s="6" t="n"/>
      <c r="D3" s="6" t="n"/>
      <c r="E3" s="6">
        <f>IFERROR(B3*C3*D3,"")</f>
        <v/>
      </c>
      <c r="F3" s="6">
        <f>IF(E3="","",RANK(E3,$E$2:$E$11,0))</f>
        <v/>
      </c>
    </row>
    <row r="4" ht="28" customHeight="1">
      <c r="A4" s="5" t="n"/>
      <c r="B4" s="5" t="n"/>
      <c r="C4" s="5" t="n"/>
      <c r="D4" s="5" t="n"/>
      <c r="E4" s="5">
        <f>IFERROR(B4*C4*D4,"")</f>
        <v/>
      </c>
      <c r="F4" s="5">
        <f>IF(E4="","",RANK(E4,$E$2:$E$11,0))</f>
        <v/>
      </c>
    </row>
    <row r="5" ht="28" customHeight="1">
      <c r="A5" s="6" t="n"/>
      <c r="B5" s="6" t="n"/>
      <c r="C5" s="6" t="n"/>
      <c r="D5" s="6" t="n"/>
      <c r="E5" s="6">
        <f>IFERROR(B5*C5*D5,"")</f>
        <v/>
      </c>
      <c r="F5" s="6">
        <f>IF(E5="","",RANK(E5,$E$2:$E$11,0))</f>
        <v/>
      </c>
    </row>
    <row r="6" ht="28" customHeight="1">
      <c r="A6" s="5" t="n"/>
      <c r="B6" s="5" t="n"/>
      <c r="C6" s="5" t="n"/>
      <c r="D6" s="5" t="n"/>
      <c r="E6" s="5">
        <f>IFERROR(B6*C6*D6,"")</f>
        <v/>
      </c>
      <c r="F6" s="5">
        <f>IF(E6="","",RANK(E6,$E$2:$E$11,0))</f>
        <v/>
      </c>
    </row>
    <row r="7" ht="28" customHeight="1">
      <c r="A7" s="6" t="n"/>
      <c r="B7" s="6" t="n"/>
      <c r="C7" s="6" t="n"/>
      <c r="D7" s="6" t="n"/>
      <c r="E7" s="6">
        <f>IFERROR(B7*C7*D7,"")</f>
        <v/>
      </c>
      <c r="F7" s="6">
        <f>IF(E7="","",RANK(E7,$E$2:$E$11,0))</f>
        <v/>
      </c>
    </row>
    <row r="8" ht="28" customHeight="1">
      <c r="A8" s="5" t="n"/>
      <c r="B8" s="5" t="n"/>
      <c r="C8" s="5" t="n"/>
      <c r="D8" s="5" t="n"/>
      <c r="E8" s="5">
        <f>IFERROR(B8*C8*D8,"")</f>
        <v/>
      </c>
      <c r="F8" s="5">
        <f>IF(E8="","",RANK(E8,$E$2:$E$11,0))</f>
        <v/>
      </c>
    </row>
    <row r="9" ht="28" customHeight="1">
      <c r="A9" s="6" t="n"/>
      <c r="B9" s="6" t="n"/>
      <c r="C9" s="6" t="n"/>
      <c r="D9" s="6" t="n"/>
      <c r="E9" s="6">
        <f>IFERROR(B9*C9*D9,"")</f>
        <v/>
      </c>
      <c r="F9" s="6">
        <f>IF(E9="","",RANK(E9,$E$2:$E$11,0))</f>
        <v/>
      </c>
    </row>
    <row r="10" ht="28" customHeight="1">
      <c r="A10" s="5" t="n"/>
      <c r="B10" s="5" t="n"/>
      <c r="C10" s="5" t="n"/>
      <c r="D10" s="5" t="n"/>
      <c r="E10" s="5">
        <f>IFERROR(B10*C10*D10,"")</f>
        <v/>
      </c>
      <c r="F10" s="5">
        <f>IF(E10="","",RANK(E10,$E$2:$E$11,0))</f>
        <v/>
      </c>
    </row>
    <row r="11" ht="28" customHeight="1">
      <c r="A11" s="6" t="n"/>
      <c r="B11" s="6" t="n"/>
      <c r="C11" s="6" t="n"/>
      <c r="D11" s="6" t="n"/>
      <c r="E11" s="6">
        <f>IFERROR(B11*C11*D11,"")</f>
        <v/>
      </c>
      <c r="F11" s="6">
        <f>IF(E11="","",RANK(E11,$E$2:$E$11,0))</f>
        <v/>
      </c>
    </row>
  </sheetData>
  <conditionalFormatting sqref="E2:E11">
    <cfRule type="cellIs" priority="1" operator="greaterThanOrEqual" dxfId="0">
      <formula>64</formula>
    </cfRule>
    <cfRule type="cellIs" priority="2" operator="between" dxfId="1">
      <formula>27</formula>
      <formula>63</formula>
    </cfRule>
    <cfRule type="cellIs" priority="3" operator="between" dxfId="2">
      <formula>1</formula>
      <formula>26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2026-06-06T05:36:16Z</dcterms:created>
  <dcterms:modified xmlns:dcterms="http://purl.org/dc/terms/" xmlns:xsi="http://www.w3.org/2001/XMLSchema-instance" xsi:type="dcterms:W3CDTF">2026-06-06T05:36:16Z</dcterms:modified>
</cp:coreProperties>
</file>